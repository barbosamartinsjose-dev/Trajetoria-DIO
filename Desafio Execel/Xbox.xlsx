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_DIO_TOTVS\Desafio Execel\"/>
    </mc:Choice>
  </mc:AlternateContent>
  <xr:revisionPtr revIDLastSave="0" documentId="13_ncr:2001_{9AADDC8A-DB1A-4F8A-881E-BAE529447469}" xr6:coauthVersionLast="47" xr6:coauthVersionMax="47" xr10:uidLastSave="{00000000-0000-0000-0000-000000000000}"/>
  <bookViews>
    <workbookView xWindow="-120" yWindow="-120" windowWidth="19440" windowHeight="150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3" l="1"/>
  <c r="D31" i="3"/>
</calcChain>
</file>

<file path=xl/sharedStrings.xml><?xml version="1.0" encoding="utf-8"?>
<sst xmlns="http://schemas.openxmlformats.org/spreadsheetml/2006/main" count="2019" uniqueCount="322">
  <si>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</si>
  <si>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</si>
  <si>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</si>
  <si>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</si>
  <si>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</si>
  <si>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</si>
  <si>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</si>
  <si>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</si>
  <si>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</si>
  <si>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</si>
  <si>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</si>
  <si>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</si>
  <si>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</si>
  <si>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</si>
  <si>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</si>
  <si>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</si>
  <si>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</si>
  <si>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</si>
  <si>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</si>
  <si>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</si>
  <si>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</si>
  <si>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</si>
  <si>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</si>
  <si>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</si>
  <si>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</si>
  <si>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</si>
  <si>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</si>
  <si>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</si>
  <si>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</si>
  <si>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</si>
  <si>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</si>
  <si>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</si>
  <si>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</si>
  <si>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</si>
  <si>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</si>
  <si>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</si>
  <si>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</si>
  <si>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</si>
  <si>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</si>
  <si>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</si>
  <si>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</si>
  <si>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</si>
  <si>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</si>
  <si>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</si>
  <si>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</si>
  <si>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</si>
  <si>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</si>
  <si>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</si>
  <si>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</si>
  <si>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</si>
  <si>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</si>
  <si>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</si>
  <si>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</si>
  <si>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</si>
  <si>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</si>
  <si>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</si>
  <si>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</si>
  <si>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</si>
  <si>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</si>
  <si>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</si>
  <si>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</si>
  <si>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</si>
  <si>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</si>
  <si>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</si>
  <si>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</si>
  <si>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</si>
  <si>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</si>
  <si>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</si>
  <si>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</si>
  <si>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</si>
  <si>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</si>
  <si>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</si>
  <si>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</si>
  <si>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</si>
  <si>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</si>
  <si>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</si>
  <si>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</si>
  <si>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</si>
  <si>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</si>
  <si>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</si>
  <si>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</si>
  <si>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</si>
  <si>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</si>
  <si>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</si>
  <si>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</si>
  <si>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</si>
  <si>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</si>
  <si>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</si>
  <si>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</si>
  <si>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</si>
  <si>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</si>
  <si>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</si>
  <si>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</si>
  <si>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</si>
  <si>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</si>
  <si>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</si>
  <si>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</si>
  <si>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</si>
  <si>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</si>
  <si>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</si>
  <si>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</si>
  <si>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</si>
  <si>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</si>
  <si>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</si>
  <si>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</si>
  <si>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</si>
  <si>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</si>
  <si>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</si>
  <si>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</si>
  <si>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</si>
  <si>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</si>
  <si>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</si>
  <si>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</si>
  <si>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</si>
  <si>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</si>
  <si>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</si>
  <si>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</si>
  <si>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</si>
  <si>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</si>
  <si>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</si>
  <si>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</si>
  <si>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</si>
  <si>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</si>
  <si>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</si>
  <si>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</si>
  <si>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</si>
  <si>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</si>
  <si>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</si>
  <si>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</si>
  <si>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</si>
  <si>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</si>
  <si>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</si>
  <si>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</si>
  <si>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</si>
  <si>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</si>
  <si>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</si>
  <si>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</si>
  <si>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</si>
  <si>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</si>
  <si>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</si>
  <si>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</si>
  <si>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</si>
  <si>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</si>
  <si>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</si>
  <si>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</si>
  <si>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</si>
  <si>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</si>
  <si>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</si>
  <si>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</si>
  <si>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</si>
  <si>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</si>
  <si>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</si>
  <si>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</si>
  <si>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</si>
  <si>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</si>
  <si>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</si>
  <si>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</si>
  <si>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</si>
  <si>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</si>
  <si>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</si>
  <si>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</si>
  <si>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</si>
  <si>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</si>
  <si>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</si>
  <si>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</si>
  <si>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</si>
  <si>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</si>
  <si>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</si>
  <si>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</si>
  <si>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</si>
  <si>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</si>
  <si>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</si>
  <si>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</si>
  <si>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</si>
  <si>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</si>
  <si>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</si>
  <si>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</si>
  <si>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</si>
  <si>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</si>
  <si>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</si>
  <si>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</si>
  <si>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</si>
  <si>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</si>
  <si>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</si>
  <si>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</si>
  <si>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</si>
  <si>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</si>
  <si>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</si>
  <si>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</si>
  <si>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</si>
  <si>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</si>
  <si>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</si>
  <si>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</si>
  <si>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</si>
  <si>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</si>
  <si>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</si>
  <si>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</si>
  <si>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</si>
  <si>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</si>
  <si>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</si>
  <si>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</si>
  <si>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</si>
  <si>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</si>
  <si>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</si>
  <si>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</si>
  <si>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</si>
  <si>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</si>
  <si>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</si>
  <si>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</si>
  <si>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</si>
  <si>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</si>
  <si>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</si>
  <si>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</si>
  <si>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</si>
  <si>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</si>
  <si>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</si>
  <si>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</si>
  <si>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</si>
  <si>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</si>
  <si>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</si>
  <si>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</si>
  <si>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</si>
  <si>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</si>
  <si>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</si>
  <si>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</si>
  <si>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</si>
  <si>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</si>
  <si>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</si>
  <si>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</si>
  <si>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</si>
  <si>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</si>
  <si>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</si>
  <si>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</si>
  <si>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</si>
  <si>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</si>
  <si>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</si>
  <si>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</si>
  <si>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</si>
  <si>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</si>
  <si>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</si>
  <si>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</si>
  <si>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</si>
  <si>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</si>
  <si>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</si>
  <si>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</si>
  <si>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</si>
  <si>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</si>
  <si>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</si>
  <si>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</si>
  <si>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</si>
  <si>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</si>
  <si>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</si>
  <si>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</si>
  <si>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</si>
  <si>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</si>
  <si>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</si>
  <si>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</si>
  <si>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</si>
  <si>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</si>
  <si>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</si>
  <si>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</si>
  <si>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</si>
  <si>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</si>
  <si>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</si>
  <si>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</si>
  <si>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</si>
  <si>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</si>
  <si>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</si>
  <si>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</si>
  <si>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</si>
  <si>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</si>
  <si>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</si>
  <si>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</si>
  <si>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</si>
  <si>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</si>
  <si>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</si>
  <si>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</si>
  <si>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</si>
  <si>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</si>
  <si>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</si>
  <si>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</si>
  <si>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</si>
  <si>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</si>
  <si>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</si>
  <si>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</si>
  <si>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</si>
  <si>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</si>
  <si>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</si>
  <si>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</si>
  <si>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</si>
  <si>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</si>
  <si>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</si>
  <si>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</si>
  <si>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</si>
  <si>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</si>
  <si>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</si>
  <si>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</si>
  <si>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</si>
  <si>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</si>
  <si>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</si>
  <si>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</si>
  <si>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</si>
  <si>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</si>
  <si>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</si>
  <si>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</si>
  <si>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</si>
  <si>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</si>
  <si>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</si>
  <si>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</si>
  <si>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</si>
  <si>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</si>
  <si>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</si>
  <si>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</si>
  <si>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</si>
  <si>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</si>
  <si>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</si>
  <si>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Grafico de Total de Vendas de planos anuais </t>
  </si>
  <si>
    <t>Ea Play Assinaturas</t>
  </si>
  <si>
    <t>Soma de EA Play Season Pass</t>
  </si>
  <si>
    <t>Mine Assinaturas</t>
  </si>
  <si>
    <t>Soma de Minecraft Season Pass Price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</si>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</sst>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7" borderId="0" xfId="0" applyFont="1" applyFill="1"/>
    <xf numFmtId="0" fontId="0" fillId="0" borderId="0" xfId="0" applyNumberFormat="1"/>
    <xf numFmtId="44" fontId="0" fillId="0" borderId="0" xfId="2" applyFont="1"/>
    <xf numFmtId="0" fontId="4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9C3CC0A3-6938-4C99-A8DB-FF3A1AF04767}">
      <tableStyleElement type="wholeTable" dxfId="15"/>
      <tableStyleElement type="headerRow" dxfId="14"/>
    </tableStyle>
  </tableStyles>
  <colors>
    <mruColors>
      <color rgb="FF5BF6A8"/>
      <color rgb="FFF7F8FC"/>
      <color rgb="FF22C55E"/>
      <color rgb="FFE8E6E9"/>
      <color rgb="FF000000"/>
      <color rgb="FFE0E0E0"/>
      <color rgb="FFEDEDED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[Xbox.xlsx]C̳álculos!tbl_ano_total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09201250798826E-3"/>
          <c:y val="0.27806629998029586"/>
          <c:w val="0.96639939312060641"/>
          <c:h val="0.65506119609195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3-4AA2-98B8-9B620A8C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765832"/>
        <c:axId val="516766192"/>
      </c:barChart>
      <c:catAx>
        <c:axId val="51676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6766192"/>
        <c:crosses val="autoZero"/>
        <c:auto val="1"/>
        <c:lblAlgn val="ctr"/>
        <c:lblOffset val="100"/>
        <c:noMultiLvlLbl val="0"/>
      </c:catAx>
      <c:valAx>
        <c:axId val="51676619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167658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107158</xdr:colOff>
      <xdr:row>1</xdr:row>
      <xdr:rowOff>178592</xdr:rowOff>
    </xdr:from>
    <xdr:ext cx="1047749" cy="869156"/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F64307E-1719-4297-919D-E6203DC2F945}"/>
            </a:ext>
          </a:extLst>
        </xdr:cNvPr>
        <xdr:cNvSpPr/>
      </xdr:nvSpPr>
      <xdr:spPr>
        <a:xfrm>
          <a:off x="107158" y="214311"/>
          <a:ext cx="1047749" cy="869156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pt-BR" sz="1100" kern="1200"/>
        </a:p>
      </xdr:txBody>
    </xdr:sp>
    <xdr:clientData/>
  </xdr:oneCellAnchor>
  <xdr:twoCellAnchor>
    <xdr:from>
      <xdr:col>8</xdr:col>
      <xdr:colOff>250032</xdr:colOff>
      <xdr:row>1</xdr:row>
      <xdr:rowOff>59530</xdr:rowOff>
    </xdr:from>
    <xdr:to>
      <xdr:col>14</xdr:col>
      <xdr:colOff>500063</xdr:colOff>
      <xdr:row>1</xdr:row>
      <xdr:rowOff>1250155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75B5639F-A6BB-2E8A-6CAA-FC7B6C0DABDC}"/>
            </a:ext>
          </a:extLst>
        </xdr:cNvPr>
        <xdr:cNvGrpSpPr/>
      </xdr:nvGrpSpPr>
      <xdr:grpSpPr>
        <a:xfrm>
          <a:off x="5917407" y="95249"/>
          <a:ext cx="3726656" cy="1190625"/>
          <a:chOff x="5631656" y="214312"/>
          <a:chExt cx="3726656" cy="1190625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597DE75B-76D7-50EF-5ED8-D42A2C6329CA}"/>
              </a:ext>
            </a:extLst>
          </xdr:cNvPr>
          <xdr:cNvSpPr/>
        </xdr:nvSpPr>
        <xdr:spPr>
          <a:xfrm>
            <a:off x="5631656" y="214312"/>
            <a:ext cx="3726656" cy="1190625"/>
          </a:xfrm>
          <a:prstGeom prst="rect">
            <a:avLst/>
          </a:prstGeom>
          <a:solidFill>
            <a:srgbClr val="5BF6A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7732A21-975C-4DB0-A999-7E372A7F16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50719" y="309562"/>
            <a:ext cx="3476626" cy="1022223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571499</xdr:colOff>
      <xdr:row>17</xdr:row>
      <xdr:rowOff>130970</xdr:rowOff>
    </xdr:from>
    <xdr:to>
      <xdr:col>20</xdr:col>
      <xdr:colOff>392905</xdr:colOff>
      <xdr:row>35</xdr:row>
      <xdr:rowOff>142876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2914CD9-1338-48E3-B80B-682DCD221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</xdr:row>
      <xdr:rowOff>1</xdr:rowOff>
    </xdr:from>
    <xdr:to>
      <xdr:col>0</xdr:col>
      <xdr:colOff>1750219</xdr:colOff>
      <xdr:row>13</xdr:row>
      <xdr:rowOff>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ubscription Type">
              <a:extLst>
                <a:ext uri="{FF2B5EF4-FFF2-40B4-BE49-F238E27FC236}">
                  <a16:creationId xmlns:a16="http://schemas.microsoft.com/office/drawing/2014/main" id="{928FA2E4-7D7B-4983-9F30-77B4754FD2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81251"/>
              <a:ext cx="1750219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3</xdr:row>
      <xdr:rowOff>523875</xdr:rowOff>
    </xdr:from>
    <xdr:to>
      <xdr:col>12</xdr:col>
      <xdr:colOff>0</xdr:colOff>
      <xdr:row>16</xdr:row>
      <xdr:rowOff>23811</xdr:rowOff>
    </xdr:to>
    <xdr:sp macro="" textlink="C̳álculos!D31">
      <xdr:nvSpPr>
        <xdr:cNvPr id="6" name="Elipse 5">
          <a:extLst>
            <a:ext uri="{FF2B5EF4-FFF2-40B4-BE49-F238E27FC236}">
              <a16:creationId xmlns:a16="http://schemas.microsoft.com/office/drawing/2014/main" id="{E2879FED-5E57-4024-9CD7-BB4B4E2F39B6}"/>
            </a:ext>
          </a:extLst>
        </xdr:cNvPr>
        <xdr:cNvSpPr/>
      </xdr:nvSpPr>
      <xdr:spPr>
        <a:xfrm>
          <a:off x="2024063" y="2059781"/>
          <a:ext cx="5905500" cy="2595561"/>
        </a:xfrm>
        <a:prstGeom prst="ellipse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B9CEDCF5-C6BA-477D-8D04-4B8C90698B27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pPr algn="r"/>
            <a:t> R$ 2.940,00 </a:t>
          </a:fld>
          <a:endParaRPr lang="pt-BR" sz="4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35718</xdr:colOff>
      <xdr:row>6</xdr:row>
      <xdr:rowOff>261937</xdr:rowOff>
    </xdr:from>
    <xdr:to>
      <xdr:col>5</xdr:col>
      <xdr:colOff>40480</xdr:colOff>
      <xdr:row>12</xdr:row>
      <xdr:rowOff>111919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DC25B9B-5AD8-49D6-AE19-B8C247B8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2762250"/>
          <a:ext cx="1219200" cy="1219200"/>
        </a:xfrm>
        <a:prstGeom prst="rect">
          <a:avLst/>
        </a:prstGeom>
      </xdr:spPr>
    </xdr:pic>
    <xdr:clientData/>
  </xdr:twoCellAnchor>
  <xdr:twoCellAnchor>
    <xdr:from>
      <xdr:col>3</xdr:col>
      <xdr:colOff>214312</xdr:colOff>
      <xdr:row>5</xdr:row>
      <xdr:rowOff>1</xdr:rowOff>
    </xdr:from>
    <xdr:to>
      <xdr:col>10</xdr:col>
      <xdr:colOff>416717</xdr:colOff>
      <xdr:row>6</xdr:row>
      <xdr:rowOff>226219</xdr:rowOff>
    </xdr:to>
    <xdr:sp macro="" textlink="">
      <xdr:nvSpPr>
        <xdr:cNvPr id="8" name="Retângulo: Único Canto Arredondado 7">
          <a:extLst>
            <a:ext uri="{FF2B5EF4-FFF2-40B4-BE49-F238E27FC236}">
              <a16:creationId xmlns:a16="http://schemas.microsoft.com/office/drawing/2014/main" id="{50FCA45A-4134-7EFB-9CC1-7009178A7E13}"/>
            </a:ext>
          </a:extLst>
        </xdr:cNvPr>
        <xdr:cNvSpPr/>
      </xdr:nvSpPr>
      <xdr:spPr>
        <a:xfrm>
          <a:off x="2845593" y="2381251"/>
          <a:ext cx="4452937" cy="345281"/>
        </a:xfrm>
        <a:prstGeom prst="round1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de Vendas EA PLAY SEASON PASS</a:t>
          </a:r>
        </a:p>
      </xdr:txBody>
    </xdr:sp>
    <xdr:clientData/>
  </xdr:twoCellAnchor>
  <xdr:twoCellAnchor>
    <xdr:from>
      <xdr:col>12</xdr:col>
      <xdr:colOff>288620</xdr:colOff>
      <xdr:row>3</xdr:row>
      <xdr:rowOff>523875</xdr:rowOff>
    </xdr:from>
    <xdr:to>
      <xdr:col>22</xdr:col>
      <xdr:colOff>0</xdr:colOff>
      <xdr:row>16</xdr:row>
      <xdr:rowOff>23811</xdr:rowOff>
    </xdr:to>
    <xdr:sp macro="" textlink="C̳álculos!D46">
      <xdr:nvSpPr>
        <xdr:cNvPr id="9" name="Elipse 8">
          <a:extLst>
            <a:ext uri="{FF2B5EF4-FFF2-40B4-BE49-F238E27FC236}">
              <a16:creationId xmlns:a16="http://schemas.microsoft.com/office/drawing/2014/main" id="{C202C92C-1B17-496F-A2C9-F5C8768CC20A}"/>
            </a:ext>
          </a:extLst>
        </xdr:cNvPr>
        <xdr:cNvSpPr/>
      </xdr:nvSpPr>
      <xdr:spPr>
        <a:xfrm>
          <a:off x="8218183" y="2059781"/>
          <a:ext cx="5783567" cy="2595561"/>
        </a:xfrm>
        <a:prstGeom prst="ellipse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9015FD78-35EB-4A69-8BA3-D51864AB8DCB}" type="TxLink">
            <a:rPr lang="en-US" sz="4400" b="0" i="0" u="none" strike="noStrike">
              <a:solidFill>
                <a:srgbClr val="000000"/>
              </a:solidFill>
              <a:latin typeface="Aptos Narrow"/>
            </a:rPr>
            <a:t> R$ 3.880,00 </a:t>
          </a:fld>
          <a:endParaRPr lang="pt-BR" sz="44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12</xdr:col>
      <xdr:colOff>431494</xdr:colOff>
      <xdr:row>6</xdr:row>
      <xdr:rowOff>357185</xdr:rowOff>
    </xdr:from>
    <xdr:to>
      <xdr:col>15</xdr:col>
      <xdr:colOff>159314</xdr:colOff>
      <xdr:row>10</xdr:row>
      <xdr:rowOff>121443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1F4046E3-43F4-4730-859D-C9B738278A24}"/>
            </a:ext>
          </a:extLst>
        </xdr:cNvPr>
        <xdr:cNvGrpSpPr/>
      </xdr:nvGrpSpPr>
      <xdr:grpSpPr>
        <a:xfrm>
          <a:off x="8361057" y="2857498"/>
          <a:ext cx="1549476" cy="752476"/>
          <a:chOff x="3495675" y="5400674"/>
          <a:chExt cx="1549476" cy="752476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06F6B2C-7CD1-E67E-A9FE-8E69AA83EF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3" name="Gráfico 12">
            <a:extLst>
              <a:ext uri="{FF2B5EF4-FFF2-40B4-BE49-F238E27FC236}">
                <a16:creationId xmlns:a16="http://schemas.microsoft.com/office/drawing/2014/main" id="{7FE3A9FD-E600-5DE0-4F22-B7587B6D6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208147</xdr:colOff>
      <xdr:row>5</xdr:row>
      <xdr:rowOff>0</xdr:rowOff>
    </xdr:from>
    <xdr:to>
      <xdr:col>20</xdr:col>
      <xdr:colOff>601052</xdr:colOff>
      <xdr:row>6</xdr:row>
      <xdr:rowOff>226218</xdr:rowOff>
    </xdr:to>
    <xdr:sp macro="" textlink="">
      <xdr:nvSpPr>
        <xdr:cNvPr id="14" name="Retângulo: Único Canto Arredondado 13">
          <a:extLst>
            <a:ext uri="{FF2B5EF4-FFF2-40B4-BE49-F238E27FC236}">
              <a16:creationId xmlns:a16="http://schemas.microsoft.com/office/drawing/2014/main" id="{23923F5C-33A7-43AE-932E-4013FB5232F1}"/>
            </a:ext>
          </a:extLst>
        </xdr:cNvPr>
        <xdr:cNvSpPr/>
      </xdr:nvSpPr>
      <xdr:spPr>
        <a:xfrm>
          <a:off x="8744928" y="2381250"/>
          <a:ext cx="4643437" cy="345281"/>
        </a:xfrm>
        <a:prstGeom prst="round1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de Vendas MINECRAFT</a:t>
          </a:r>
          <a:r>
            <a:rPr lang="pt-BR" sz="1100" baseline="0"/>
            <a:t> SEASON PASS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J" refreshedDate="46105.715073032407" createdVersion="8" refreshedVersion="8" minRefreshableVersion="3" recordCount="295" xr:uid="{FF9E0CD9-CED0-4EA1-9EB9-9715D9EF3F0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574405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88A1C-73A8-4104-80DC-33168BF84CA4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2:B4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4097-C0CF-4238-80F0-A04FAEF0EDC7}" name="tbl_ano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7:B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63660-DD8F-4E26-B3AB-36145B7BF3AC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7:B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8C33EC3-FE46-4040-A27A-D287018038F0}" sourceName="Subscription Type">
  <pivotTables>
    <pivotTable tabId="3" name="tbl_ano_total"/>
    <pivotTable tabId="3" name="Tabela dinâmica3"/>
    <pivotTable tabId="3" name="Tabela dinâmica1"/>
  </pivotTables>
  <data>
    <tabular pivotCacheId="145744056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98CB79-3AEB-4914-9F34-7D06ADB4406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E46"/>
  <sheetViews>
    <sheetView showGridLines="0" topLeftCell="A19" workbookViewId="0">
      <selection activeCell="D46" sqref="D46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1:2" x14ac:dyDescent="0.25">
      <c r="A3" t="s">
        <v>316</v>
      </c>
    </row>
    <row r="5" spans="1:2" x14ac:dyDescent="0.25">
      <c r="A5" s="13" t="s">
        <v>16</v>
      </c>
      <c r="B5" t="s">
        <v>321</v>
      </c>
    </row>
    <row r="7" spans="1:2" x14ac:dyDescent="0.25">
      <c r="A7" s="13" t="s">
        <v>313</v>
      </c>
      <c r="B7" t="s">
        <v>315</v>
      </c>
    </row>
    <row r="8" spans="1:2" x14ac:dyDescent="0.25">
      <c r="A8" s="14" t="s">
        <v>23</v>
      </c>
      <c r="B8" s="15">
        <v>3847</v>
      </c>
    </row>
    <row r="9" spans="1:2" x14ac:dyDescent="0.25">
      <c r="A9" s="14" t="s">
        <v>19</v>
      </c>
      <c r="B9" s="15">
        <v>3786</v>
      </c>
    </row>
    <row r="10" spans="1:2" x14ac:dyDescent="0.25">
      <c r="A10" s="14" t="s">
        <v>314</v>
      </c>
      <c r="B10" s="15">
        <v>7633</v>
      </c>
    </row>
    <row r="23" spans="1:4" x14ac:dyDescent="0.25">
      <c r="A23" t="s">
        <v>317</v>
      </c>
    </row>
    <row r="25" spans="1:4" x14ac:dyDescent="0.25">
      <c r="A25" s="13" t="s">
        <v>16</v>
      </c>
      <c r="B25" t="s">
        <v>321</v>
      </c>
    </row>
    <row r="27" spans="1:4" x14ac:dyDescent="0.25">
      <c r="A27" s="13" t="s">
        <v>313</v>
      </c>
      <c r="B27" t="s">
        <v>318</v>
      </c>
    </row>
    <row r="28" spans="1:4" x14ac:dyDescent="0.25">
      <c r="A28" s="14" t="s">
        <v>22</v>
      </c>
      <c r="B28" s="17">
        <v>0</v>
      </c>
    </row>
    <row r="29" spans="1:4" x14ac:dyDescent="0.25">
      <c r="A29" s="14" t="s">
        <v>26</v>
      </c>
      <c r="B29" s="17">
        <v>0</v>
      </c>
    </row>
    <row r="30" spans="1:4" x14ac:dyDescent="0.25">
      <c r="A30" s="14" t="s">
        <v>18</v>
      </c>
      <c r="B30" s="17">
        <v>2940</v>
      </c>
    </row>
    <row r="31" spans="1:4" x14ac:dyDescent="0.25">
      <c r="A31" s="14" t="s">
        <v>314</v>
      </c>
      <c r="B31" s="17">
        <v>2940</v>
      </c>
      <c r="D31" s="18">
        <f>GETPIVOTDATA("EA Play Season Pass
Price",$A$27,"Plan","Ultimate")</f>
        <v>2940</v>
      </c>
    </row>
    <row r="38" spans="1:5" x14ac:dyDescent="0.25">
      <c r="A38" t="s">
        <v>319</v>
      </c>
    </row>
    <row r="40" spans="1:5" x14ac:dyDescent="0.25">
      <c r="A40" s="13" t="s">
        <v>16</v>
      </c>
      <c r="B40" t="s">
        <v>321</v>
      </c>
    </row>
    <row r="42" spans="1:5" x14ac:dyDescent="0.25">
      <c r="A42" s="13" t="s">
        <v>313</v>
      </c>
      <c r="B42" t="s">
        <v>320</v>
      </c>
      <c r="E42" s="18"/>
    </row>
    <row r="43" spans="1:5" x14ac:dyDescent="0.25">
      <c r="A43" s="14" t="s">
        <v>22</v>
      </c>
      <c r="B43" s="15">
        <v>0</v>
      </c>
    </row>
    <row r="44" spans="1:5" x14ac:dyDescent="0.25">
      <c r="A44" s="14" t="s">
        <v>26</v>
      </c>
      <c r="B44" s="15">
        <v>1920</v>
      </c>
    </row>
    <row r="45" spans="1:5" x14ac:dyDescent="0.25">
      <c r="A45" s="14" t="s">
        <v>18</v>
      </c>
      <c r="B45" s="15">
        <v>1960</v>
      </c>
    </row>
    <row r="46" spans="1:5" x14ac:dyDescent="0.25">
      <c r="A46" s="14" t="s">
        <v>314</v>
      </c>
      <c r="B46" s="15">
        <v>3880</v>
      </c>
      <c r="D46" s="18">
        <f>GETPIVOTDATA("Minecraft Season Pass Price",$A$42)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41"/>
  <sheetViews>
    <sheetView showGridLines="0" tabSelected="1" zoomScale="80" zoomScaleNormal="80" workbookViewId="0">
      <selection activeCell="D2" sqref="D2"/>
    </sheetView>
  </sheetViews>
  <sheetFormatPr defaultRowHeight="15" x14ac:dyDescent="0.25"/>
  <cols>
    <col min="1" max="1" width="26.7109375" style="6" customWidth="1"/>
    <col min="2" max="2" width="3.5703125" customWidth="1"/>
    <col min="12" max="12" width="6.5703125" customWidth="1"/>
  </cols>
  <sheetData>
    <row r="1" spans="1:24" ht="3" customHeight="1" x14ac:dyDescent="0.25"/>
    <row r="2" spans="1:24" s="12" customFormat="1" ht="109.5" customHeight="1" x14ac:dyDescent="0.25">
      <c r="A2" s="6"/>
      <c r="H2" s="19"/>
    </row>
    <row r="3" spans="1:24" ht="8.25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56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5">
      <c r="B14" s="7"/>
      <c r="C14" s="7"/>
      <c r="D14" s="7"/>
      <c r="E14" s="7"/>
      <c r="F14" s="7"/>
      <c r="G14" s="7"/>
      <c r="H14" s="7"/>
      <c r="I14" s="7"/>
      <c r="J14" s="1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6"/>
      <c r="W19" s="7"/>
      <c r="X19" s="7"/>
    </row>
    <row r="20" spans="2:2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6"/>
      <c r="W22" s="7"/>
      <c r="X22" s="7"/>
    </row>
    <row r="23" spans="2:2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2:2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JJ</cp:lastModifiedBy>
  <dcterms:created xsi:type="dcterms:W3CDTF">2024-12-19T13:13:10Z</dcterms:created>
  <dcterms:modified xsi:type="dcterms:W3CDTF">2026-03-24T22:06:56Z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